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4s205\Desktop\"/>
    </mc:Choice>
  </mc:AlternateContent>
  <xr:revisionPtr revIDLastSave="0" documentId="8_{734B1BAD-6B13-41A5-B43A-20594532DDCE}" xr6:coauthVersionLast="47" xr6:coauthVersionMax="47" xr10:uidLastSave="{00000000-0000-0000-0000-000000000000}"/>
  <bookViews>
    <workbookView xWindow="-120" yWindow="-120" windowWidth="29040" windowHeight="15840" xr2:uid="{E76C1EF2-6665-41D7-A2B8-A470E8479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/>
  <c r="G9" i="1"/>
  <c r="G8" i="1"/>
  <c r="E5" i="1"/>
  <c r="G5" i="1" s="1"/>
  <c r="E4" i="1"/>
  <c r="G4" i="1" s="1"/>
  <c r="E3" i="1"/>
  <c r="G3" i="1" s="1"/>
</calcChain>
</file>

<file path=xl/sharedStrings.xml><?xml version="1.0" encoding="utf-8"?>
<sst xmlns="http://schemas.openxmlformats.org/spreadsheetml/2006/main" count="45" uniqueCount="26">
  <si>
    <t>ENTRADAS</t>
  </si>
  <si>
    <t>SALIDAS</t>
  </si>
  <si>
    <t>Casos Normales</t>
  </si>
  <si>
    <t>Valor a ahorrar</t>
  </si>
  <si>
    <t>Plazo (meses)</t>
  </si>
  <si>
    <t>Abono extra</t>
  </si>
  <si>
    <t>Tasa de interes mensual</t>
  </si>
  <si>
    <t>Mes de Abono Extra</t>
  </si>
  <si>
    <t>Abono mensual</t>
  </si>
  <si>
    <t>Caso Normal</t>
  </si>
  <si>
    <t>Caso Normal 2</t>
  </si>
  <si>
    <t>Caso Normal 3</t>
  </si>
  <si>
    <t>Casos Extraordinarios</t>
  </si>
  <si>
    <t>-</t>
  </si>
  <si>
    <t>Casos de Error</t>
  </si>
  <si>
    <t>Error: el plazo debe ser mayor a 0</t>
  </si>
  <si>
    <t>Error: abono supera meta de ahorro</t>
  </si>
  <si>
    <t>Error: el valor a ahorrar debe ser mayor a  0</t>
  </si>
  <si>
    <t>Error: el valor debe ser mayor a 0</t>
  </si>
  <si>
    <t>Caso extraodinario 1</t>
  </si>
  <si>
    <t>Caso extraodinario 2</t>
  </si>
  <si>
    <t>Caso extraodinario 3</t>
  </si>
  <si>
    <t>Caso de error 1</t>
  </si>
  <si>
    <t>Caso de error 2</t>
  </si>
  <si>
    <t>Caso de error 3</t>
  </si>
  <si>
    <t>Caso de error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</si>
</sst>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&quot;$&quot;#,##0.00;[Red]\-&quot;$&quot;#,##0.00"/>
  </numFmts>
  <fonts count="1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8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rgb="FFD5A6B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rgb="FFBDD6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3" fillId="4" borderId="4" xfId="0" applyFont="1" applyFill="1" applyBorder="1" applyAlignment="1">
      <alignment horizontal="center"/>
    </xf>
    <xf numFmtId="43" fontId="5" fillId="0" borderId="8" xfId="1" applyFont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A931-200B-4624-8623-811A6DA5BC25}">
  <dimension ref="A1:H16"/>
  <sheetViews>
    <sheetView tabSelected="1" workbookViewId="0">
      <selection activeCell="B22" sqref="B22"/>
    </sheetView>
  </sheetViews>
  <sheetFormatPr baseColWidth="10" defaultRowHeight="15.75" x14ac:dyDescent="0.25"/>
  <cols>
    <col min="1" max="1" width="26.5" customWidth="1"/>
    <col min="2" max="2" width="20.125" customWidth="1"/>
    <col min="3" max="3" width="20" customWidth="1"/>
    <col min="4" max="4" width="17.25" customWidth="1"/>
    <col min="5" max="5" width="23" customWidth="1"/>
    <col min="6" max="6" width="27.125" customWidth="1"/>
    <col min="7" max="7" width="62" customWidth="1"/>
  </cols>
  <sheetData>
    <row r="1" spans="1:8" x14ac:dyDescent="0.25">
      <c r="A1" s="1"/>
      <c r="B1" s="26" t="s">
        <v>0</v>
      </c>
      <c r="C1" s="27"/>
      <c r="D1" s="27"/>
      <c r="E1" s="27"/>
      <c r="F1" s="28"/>
      <c r="G1" s="29" t="s">
        <v>1</v>
      </c>
      <c r="H1">
        <v>7.4999999999999997E-3</v>
      </c>
    </row>
    <row r="2" spans="1:8" ht="18" customHeight="1" x14ac:dyDescent="0.25">
      <c r="A2" s="2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3" t="s">
        <v>7</v>
      </c>
      <c r="G2" s="5" t="s">
        <v>8</v>
      </c>
    </row>
    <row r="3" spans="1:8" x14ac:dyDescent="0.25">
      <c r="A3" s="6" t="s">
        <v>9</v>
      </c>
      <c r="B3" s="7">
        <v>1200000</v>
      </c>
      <c r="C3" s="6">
        <v>12</v>
      </c>
      <c r="D3" s="8">
        <v>0</v>
      </c>
      <c r="E3" s="9">
        <f t="shared" ref="E3:E5" si="0">$H$1</f>
        <v>7.4999999999999997E-3</v>
      </c>
      <c r="F3" s="10">
        <v>0</v>
      </c>
      <c r="G3" s="11">
        <f t="shared" ref="G3:G5" si="1">IF(OR(B3&lt;=0, C3&lt;=0), "Error", PMT(E3, C3, 0, -(B3-D3), 0))</f>
        <v>95941.772123905714</v>
      </c>
    </row>
    <row r="4" spans="1:8" x14ac:dyDescent="0.25">
      <c r="A4" s="6" t="s">
        <v>10</v>
      </c>
      <c r="B4" s="7">
        <v>5000000</v>
      </c>
      <c r="C4" s="6">
        <v>20</v>
      </c>
      <c r="D4" s="8">
        <v>0</v>
      </c>
      <c r="E4" s="9">
        <f t="shared" si="0"/>
        <v>7.4999999999999997E-3</v>
      </c>
      <c r="F4" s="10">
        <v>0</v>
      </c>
      <c r="G4" s="11">
        <f t="shared" si="1"/>
        <v>232653.15969768338</v>
      </c>
    </row>
    <row r="5" spans="1:8" x14ac:dyDescent="0.25">
      <c r="A5" s="6" t="s">
        <v>11</v>
      </c>
      <c r="B5" s="7">
        <v>450000</v>
      </c>
      <c r="C5" s="6">
        <v>3</v>
      </c>
      <c r="D5" s="8">
        <v>0</v>
      </c>
      <c r="E5" s="9">
        <f t="shared" si="0"/>
        <v>7.4999999999999997E-3</v>
      </c>
      <c r="F5" s="10">
        <v>0</v>
      </c>
      <c r="G5" s="11">
        <f t="shared" si="1"/>
        <v>148880.60395898341</v>
      </c>
    </row>
    <row r="6" spans="1:8" x14ac:dyDescent="0.25">
      <c r="A6" s="12"/>
      <c r="B6" s="12"/>
      <c r="C6" s="12"/>
      <c r="D6" s="13"/>
      <c r="E6" s="14"/>
      <c r="F6" s="14"/>
      <c r="G6" s="15"/>
    </row>
    <row r="7" spans="1:8" ht="17.25" customHeight="1" x14ac:dyDescent="0.25">
      <c r="A7" s="2" t="s">
        <v>12</v>
      </c>
      <c r="B7" s="3" t="s">
        <v>3</v>
      </c>
      <c r="C7" s="3" t="s">
        <v>4</v>
      </c>
      <c r="D7" s="4" t="s">
        <v>5</v>
      </c>
      <c r="E7" s="16" t="s">
        <v>6</v>
      </c>
      <c r="F7" s="17" t="s">
        <v>7</v>
      </c>
      <c r="G7" s="5" t="s">
        <v>8</v>
      </c>
    </row>
    <row r="8" spans="1:8" x14ac:dyDescent="0.25">
      <c r="A8" s="6" t="s">
        <v>19</v>
      </c>
      <c r="B8" s="7">
        <v>2000000</v>
      </c>
      <c r="C8" s="6">
        <v>10</v>
      </c>
      <c r="D8" s="8">
        <v>0</v>
      </c>
      <c r="E8" s="18" t="s">
        <v>13</v>
      </c>
      <c r="F8" s="10">
        <v>0</v>
      </c>
      <c r="G8" s="11">
        <f t="shared" ref="G8:G10" si="2">(B8-D8)/C8</f>
        <v>200000</v>
      </c>
    </row>
    <row r="9" spans="1:8" x14ac:dyDescent="0.25">
      <c r="A9" s="6" t="s">
        <v>20</v>
      </c>
      <c r="B9" s="7">
        <v>8000000</v>
      </c>
      <c r="C9" s="6">
        <v>24</v>
      </c>
      <c r="D9" s="8">
        <v>0</v>
      </c>
      <c r="E9" s="18" t="s">
        <v>13</v>
      </c>
      <c r="F9" s="10">
        <v>0</v>
      </c>
      <c r="G9" s="11">
        <f t="shared" si="2"/>
        <v>333333.33333333331</v>
      </c>
    </row>
    <row r="10" spans="1:8" x14ac:dyDescent="0.25">
      <c r="A10" s="6" t="s">
        <v>21</v>
      </c>
      <c r="B10" s="7">
        <v>60000</v>
      </c>
      <c r="C10" s="6">
        <v>2</v>
      </c>
      <c r="D10" s="8">
        <v>400000</v>
      </c>
      <c r="E10" s="18" t="s">
        <v>13</v>
      </c>
      <c r="F10" s="10">
        <v>1</v>
      </c>
      <c r="G10" s="31">
        <f>(B10-D10)/C10</f>
        <v>-170000</v>
      </c>
    </row>
    <row r="11" spans="1:8" x14ac:dyDescent="0.25">
      <c r="A11" s="12"/>
      <c r="B11" s="12"/>
      <c r="C11" s="12"/>
      <c r="D11" s="13"/>
      <c r="E11" s="14"/>
      <c r="F11" s="14"/>
      <c r="G11" s="15"/>
    </row>
    <row r="12" spans="1:8" ht="18.75" customHeight="1" x14ac:dyDescent="0.25">
      <c r="A12" s="2" t="s">
        <v>14</v>
      </c>
      <c r="B12" s="3" t="s">
        <v>3</v>
      </c>
      <c r="C12" s="3" t="s">
        <v>4</v>
      </c>
      <c r="D12" s="4" t="s">
        <v>5</v>
      </c>
      <c r="E12" s="16" t="s">
        <v>6</v>
      </c>
      <c r="F12" s="17" t="s">
        <v>7</v>
      </c>
      <c r="G12" s="5" t="s">
        <v>8</v>
      </c>
    </row>
    <row r="13" spans="1:8" x14ac:dyDescent="0.25">
      <c r="A13" s="6" t="s">
        <v>22</v>
      </c>
      <c r="B13" s="7">
        <v>500000</v>
      </c>
      <c r="C13" s="6">
        <v>12</v>
      </c>
      <c r="D13" s="8">
        <v>0</v>
      </c>
      <c r="E13" s="18" t="s">
        <v>13</v>
      </c>
      <c r="F13" s="10">
        <v>0</v>
      </c>
      <c r="G13" s="11" t="s">
        <v>17</v>
      </c>
    </row>
    <row r="14" spans="1:8" x14ac:dyDescent="0.25">
      <c r="A14" s="6" t="s">
        <v>23</v>
      </c>
      <c r="B14" s="7" t="s">
        <v>13</v>
      </c>
      <c r="C14" s="6">
        <v>6</v>
      </c>
      <c r="D14" s="8">
        <v>0</v>
      </c>
      <c r="E14" s="18" t="s">
        <v>13</v>
      </c>
      <c r="F14" s="10">
        <v>0</v>
      </c>
      <c r="G14" s="11" t="s">
        <v>18</v>
      </c>
    </row>
    <row r="15" spans="1:8" x14ac:dyDescent="0.25">
      <c r="A15" s="6" t="s">
        <v>24</v>
      </c>
      <c r="B15" s="20">
        <v>1500000</v>
      </c>
      <c r="C15" s="19">
        <v>12</v>
      </c>
      <c r="D15" s="21">
        <v>800000</v>
      </c>
      <c r="E15" s="22" t="s">
        <v>13</v>
      </c>
      <c r="F15" s="23">
        <v>2</v>
      </c>
      <c r="G15" s="24" t="s">
        <v>16</v>
      </c>
    </row>
    <row r="16" spans="1:8" x14ac:dyDescent="0.25">
      <c r="A16" s="6" t="s">
        <v>25</v>
      </c>
      <c r="B16" s="30">
        <v>1000000</v>
      </c>
      <c r="C16" s="25">
        <v>0</v>
      </c>
      <c r="D16" s="25">
        <v>20000</v>
      </c>
      <c r="E16" s="25" t="s">
        <v>13</v>
      </c>
      <c r="F16" s="25">
        <v>4</v>
      </c>
      <c r="G16" s="32" t="s">
        <v>15</v>
      </c>
    </row>
  </sheetData>
  <mergeCells count="1">
    <mergeCell ref="B1:F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Ramirez Pareja</dc:creator>
  <cp:lastModifiedBy>Juan David Ramirez Pareja</cp:lastModifiedBy>
  <dcterms:created xsi:type="dcterms:W3CDTF">2026-02-27T14:08:45Z</dcterms:created>
  <dcterms:modified xsi:type="dcterms:W3CDTF">2026-02-27T14:17:45Z</dcterms:modified>
</cp:coreProperties>
</file>